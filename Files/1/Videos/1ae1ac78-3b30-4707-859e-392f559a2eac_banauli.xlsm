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anand Mishra\Desktop\"/>
    </mc:Choice>
  </mc:AlternateContent>
  <bookViews>
    <workbookView xWindow="0" yWindow="0" windowWidth="10020" windowHeight="367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1" l="1"/>
  <c r="J40" i="1"/>
  <c r="J7" i="1"/>
  <c r="J12" i="1"/>
  <c r="J39" i="1"/>
  <c r="H39" i="1" l="1"/>
  <c r="H38" i="1"/>
  <c r="H37" i="1"/>
  <c r="H36" i="1"/>
  <c r="G37" i="1"/>
  <c r="G36" i="1"/>
  <c r="F37" i="1"/>
  <c r="F36" i="1"/>
  <c r="H34" i="1"/>
  <c r="H35" i="1"/>
  <c r="H33" i="1"/>
  <c r="H32" i="1"/>
  <c r="H31" i="1"/>
  <c r="H25" i="1"/>
  <c r="H26" i="1"/>
  <c r="H27" i="1"/>
  <c r="H28" i="1"/>
  <c r="H29" i="1"/>
  <c r="H30" i="1"/>
  <c r="H24" i="1"/>
  <c r="H23" i="1"/>
  <c r="H22" i="1"/>
  <c r="H21" i="1"/>
  <c r="H20" i="1"/>
  <c r="H18" i="1"/>
  <c r="H17" i="1"/>
  <c r="H16" i="1"/>
  <c r="H15" i="1"/>
  <c r="H14" i="1"/>
  <c r="H13" i="1"/>
  <c r="H12" i="1"/>
  <c r="H9" i="1"/>
  <c r="H10" i="1"/>
  <c r="H11" i="1"/>
  <c r="H8" i="1"/>
  <c r="H7" i="1"/>
  <c r="H5" i="1"/>
  <c r="H6" i="1"/>
  <c r="H4" i="1"/>
  <c r="H3" i="1"/>
  <c r="H19" i="1" l="1"/>
  <c r="N19" i="1" s="1"/>
  <c r="J43" i="1" s="1"/>
  <c r="L19" i="1" l="1"/>
  <c r="L20" i="1" s="1"/>
</calcChain>
</file>

<file path=xl/sharedStrings.xml><?xml version="1.0" encoding="utf-8"?>
<sst xmlns="http://schemas.openxmlformats.org/spreadsheetml/2006/main" count="47" uniqueCount="35">
  <si>
    <t>excavation work</t>
  </si>
  <si>
    <t>Footing1</t>
  </si>
  <si>
    <t>Footing2</t>
  </si>
  <si>
    <t>wall</t>
  </si>
  <si>
    <t>No</t>
  </si>
  <si>
    <t>L</t>
  </si>
  <si>
    <t>B</t>
  </si>
  <si>
    <t>H</t>
  </si>
  <si>
    <t>Cu.M</t>
  </si>
  <si>
    <t>PCC (1:2:4)</t>
  </si>
  <si>
    <t>Brick masonary work</t>
  </si>
  <si>
    <t>wall1</t>
  </si>
  <si>
    <t>wall2</t>
  </si>
  <si>
    <t>footing wall</t>
  </si>
  <si>
    <t>wall3</t>
  </si>
  <si>
    <t>wall4</t>
  </si>
  <si>
    <t>RCC (1:2:4)</t>
  </si>
  <si>
    <t>footin1</t>
  </si>
  <si>
    <t>footing2</t>
  </si>
  <si>
    <t>plinth beam</t>
  </si>
  <si>
    <t>column Plinth</t>
  </si>
  <si>
    <t xml:space="preserve">column  </t>
  </si>
  <si>
    <t>beam</t>
  </si>
  <si>
    <t>column stair</t>
  </si>
  <si>
    <t>slab</t>
  </si>
  <si>
    <t>stair</t>
  </si>
  <si>
    <t>rods</t>
  </si>
  <si>
    <t>12dia</t>
  </si>
  <si>
    <t>6dia</t>
  </si>
  <si>
    <t>total beam length</t>
  </si>
  <si>
    <t>total column length</t>
  </si>
  <si>
    <t>no of brick=</t>
  </si>
  <si>
    <t>mortar=</t>
  </si>
  <si>
    <t>CuM</t>
  </si>
  <si>
    <t>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</si>
</sst>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wrapText="1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45"/>
  <sheetViews>
    <sheetView tabSelected="1" zoomScaleNormal="100" workbookViewId="0">
      <selection activeCell="I36" sqref="I36"/>
    </sheetView>
  </sheetViews>
  <sheetFormatPr defaultRowHeight="15" x14ac:dyDescent="0.25"/>
  <cols>
    <col min="2" max="2" width="15.5703125" bestFit="1" customWidth="1"/>
    <col min="3" max="3" width="13.42578125" bestFit="1" customWidth="1"/>
  </cols>
  <sheetData>
    <row r="2" spans="2:10" x14ac:dyDescent="0.25">
      <c r="D2" t="s">
        <v>4</v>
      </c>
      <c r="E2" t="s">
        <v>5</v>
      </c>
      <c r="F2" t="s">
        <v>6</v>
      </c>
      <c r="G2" t="s">
        <v>7</v>
      </c>
    </row>
    <row r="3" spans="2:10" x14ac:dyDescent="0.25">
      <c r="B3" t="s">
        <v>0</v>
      </c>
      <c r="C3" t="s">
        <v>1</v>
      </c>
      <c r="D3">
        <v>4</v>
      </c>
      <c r="E3">
        <v>1.2</v>
      </c>
      <c r="F3">
        <v>1.2</v>
      </c>
      <c r="G3">
        <v>1.5</v>
      </c>
      <c r="H3">
        <f>D3*E3*F3*G3</f>
        <v>8.64</v>
      </c>
    </row>
    <row r="4" spans="2:10" x14ac:dyDescent="0.25">
      <c r="C4" t="s">
        <v>2</v>
      </c>
      <c r="D4">
        <v>4</v>
      </c>
      <c r="E4">
        <v>1.1000000000000001</v>
      </c>
      <c r="F4">
        <v>1.1000000000000001</v>
      </c>
      <c r="G4">
        <v>1.5</v>
      </c>
      <c r="H4">
        <f>D4*E4*F4*G4</f>
        <v>7.2600000000000016</v>
      </c>
    </row>
    <row r="5" spans="2:10" x14ac:dyDescent="0.25">
      <c r="C5" t="s">
        <v>3</v>
      </c>
      <c r="D5">
        <v>2</v>
      </c>
      <c r="E5">
        <v>7.34</v>
      </c>
      <c r="F5">
        <v>0.25</v>
      </c>
      <c r="G5">
        <v>1.022</v>
      </c>
      <c r="H5">
        <f t="shared" ref="H5:H6" si="0">D5*E5*F5*G5</f>
        <v>3.75074</v>
      </c>
    </row>
    <row r="6" spans="2:10" x14ac:dyDescent="0.25">
      <c r="C6" t="s">
        <v>3</v>
      </c>
      <c r="D6">
        <v>4</v>
      </c>
      <c r="E6">
        <v>3.2</v>
      </c>
      <c r="F6">
        <v>0.25</v>
      </c>
      <c r="G6">
        <v>1.022</v>
      </c>
      <c r="H6">
        <f t="shared" si="0"/>
        <v>3.2704000000000004</v>
      </c>
    </row>
    <row r="7" spans="2:10" x14ac:dyDescent="0.25">
      <c r="H7" s="2">
        <f>SUM(H3:H6)</f>
        <v>22.921140000000001</v>
      </c>
      <c r="I7" t="s">
        <v>8</v>
      </c>
      <c r="J7">
        <f>400*H7</f>
        <v>9168.4560000000001</v>
      </c>
    </row>
    <row r="8" spans="2:10" x14ac:dyDescent="0.25">
      <c r="B8" t="s">
        <v>9</v>
      </c>
      <c r="C8" t="s">
        <v>1</v>
      </c>
      <c r="D8">
        <v>4</v>
      </c>
      <c r="E8">
        <v>1.2</v>
      </c>
      <c r="F8">
        <v>1.1000000000000001</v>
      </c>
      <c r="G8">
        <v>0.15</v>
      </c>
      <c r="H8">
        <f>D8*E8*F8*G8</f>
        <v>0.79200000000000004</v>
      </c>
    </row>
    <row r="9" spans="2:10" x14ac:dyDescent="0.25">
      <c r="C9" t="s">
        <v>2</v>
      </c>
      <c r="D9">
        <v>4</v>
      </c>
      <c r="E9">
        <v>1.1000000000000001</v>
      </c>
      <c r="F9">
        <v>1</v>
      </c>
      <c r="G9">
        <v>0.15</v>
      </c>
      <c r="H9">
        <f t="shared" ref="H9:H18" si="1">D9*E9*F9*G9</f>
        <v>0.66</v>
      </c>
    </row>
    <row r="10" spans="2:10" x14ac:dyDescent="0.25">
      <c r="C10" t="s">
        <v>3</v>
      </c>
      <c r="D10">
        <v>2</v>
      </c>
      <c r="E10">
        <v>7.34</v>
      </c>
      <c r="F10">
        <v>0.23</v>
      </c>
      <c r="G10">
        <v>0.15</v>
      </c>
      <c r="H10">
        <f t="shared" si="1"/>
        <v>0.50646000000000002</v>
      </c>
    </row>
    <row r="11" spans="2:10" x14ac:dyDescent="0.25">
      <c r="C11" t="s">
        <v>3</v>
      </c>
      <c r="D11">
        <v>4</v>
      </c>
      <c r="E11">
        <v>3.2</v>
      </c>
      <c r="F11">
        <v>0.23</v>
      </c>
      <c r="G11">
        <v>0.15</v>
      </c>
      <c r="H11">
        <f t="shared" si="1"/>
        <v>0.44160000000000005</v>
      </c>
    </row>
    <row r="12" spans="2:10" x14ac:dyDescent="0.25">
      <c r="H12" s="2">
        <f>SUM(H8:H11)</f>
        <v>2.4000600000000003</v>
      </c>
      <c r="I12" t="s">
        <v>8</v>
      </c>
      <c r="J12">
        <f>H12*12000</f>
        <v>28800.720000000005</v>
      </c>
    </row>
    <row r="13" spans="2:10" x14ac:dyDescent="0.25">
      <c r="B13" s="1" t="s">
        <v>10</v>
      </c>
      <c r="C13" t="s">
        <v>13</v>
      </c>
      <c r="D13">
        <v>1</v>
      </c>
      <c r="E13">
        <v>7.34</v>
      </c>
      <c r="F13">
        <v>0.23</v>
      </c>
      <c r="G13">
        <v>1.536</v>
      </c>
      <c r="H13">
        <f t="shared" si="1"/>
        <v>2.5930752000000004</v>
      </c>
    </row>
    <row r="14" spans="2:10" x14ac:dyDescent="0.25">
      <c r="B14" s="1"/>
      <c r="C14" t="s">
        <v>13</v>
      </c>
      <c r="D14">
        <v>3</v>
      </c>
      <c r="E14">
        <v>3.2</v>
      </c>
      <c r="F14">
        <v>0.23</v>
      </c>
      <c r="G14">
        <v>1.536</v>
      </c>
      <c r="H14">
        <f t="shared" si="1"/>
        <v>3.3914880000000012</v>
      </c>
    </row>
    <row r="15" spans="2:10" x14ac:dyDescent="0.25">
      <c r="B15" s="1"/>
      <c r="C15" t="s">
        <v>11</v>
      </c>
      <c r="D15">
        <v>1</v>
      </c>
      <c r="E15">
        <v>7.34</v>
      </c>
      <c r="F15">
        <v>0.12</v>
      </c>
      <c r="G15">
        <v>2.9</v>
      </c>
      <c r="H15">
        <f t="shared" si="1"/>
        <v>2.5543199999999997</v>
      </c>
    </row>
    <row r="16" spans="2:10" x14ac:dyDescent="0.25">
      <c r="C16" t="s">
        <v>12</v>
      </c>
      <c r="D16">
        <v>1</v>
      </c>
      <c r="E16">
        <v>4.91</v>
      </c>
      <c r="F16">
        <v>0.12</v>
      </c>
      <c r="G16">
        <v>2.9</v>
      </c>
      <c r="H16">
        <f t="shared" si="1"/>
        <v>1.7086799999999998</v>
      </c>
    </row>
    <row r="17" spans="2:14" x14ac:dyDescent="0.25">
      <c r="C17" t="s">
        <v>14</v>
      </c>
      <c r="D17">
        <v>4</v>
      </c>
      <c r="E17">
        <v>3.2</v>
      </c>
      <c r="F17">
        <v>0.12</v>
      </c>
      <c r="G17">
        <v>2.9</v>
      </c>
      <c r="H17">
        <f t="shared" si="1"/>
        <v>4.4543999999999997</v>
      </c>
    </row>
    <row r="18" spans="2:14" x14ac:dyDescent="0.25">
      <c r="C18" t="s">
        <v>15</v>
      </c>
      <c r="D18">
        <v>1</v>
      </c>
      <c r="E18">
        <v>9.75</v>
      </c>
      <c r="F18">
        <v>0.12</v>
      </c>
      <c r="G18">
        <v>1.8</v>
      </c>
      <c r="H18">
        <f t="shared" si="1"/>
        <v>2.1059999999999999</v>
      </c>
    </row>
    <row r="19" spans="2:14" x14ac:dyDescent="0.25">
      <c r="H19" s="2">
        <f>SUM(H13:H18)</f>
        <v>16.8079632</v>
      </c>
      <c r="I19" t="s">
        <v>8</v>
      </c>
      <c r="J19" t="s">
        <v>31</v>
      </c>
      <c r="L19">
        <f>H19/0.00192</f>
        <v>8754.1474999999991</v>
      </c>
      <c r="N19">
        <f>H19*13000</f>
        <v>218503.52160000001</v>
      </c>
    </row>
    <row r="20" spans="2:14" x14ac:dyDescent="0.25">
      <c r="B20" t="s">
        <v>16</v>
      </c>
      <c r="C20" t="s">
        <v>17</v>
      </c>
      <c r="D20">
        <v>4</v>
      </c>
      <c r="G20">
        <v>0.28000000000000003</v>
      </c>
      <c r="H20">
        <f>D20*G20</f>
        <v>1.1200000000000001</v>
      </c>
      <c r="J20" t="s">
        <v>32</v>
      </c>
      <c r="L20">
        <f>L19*5.255/10000</f>
        <v>4.6003045112500001</v>
      </c>
      <c r="M20" t="s">
        <v>33</v>
      </c>
    </row>
    <row r="21" spans="2:14" x14ac:dyDescent="0.25">
      <c r="C21" t="s">
        <v>18</v>
      </c>
      <c r="D21">
        <v>4</v>
      </c>
      <c r="G21">
        <v>0.33600000000000002</v>
      </c>
      <c r="H21">
        <f>D21*G21</f>
        <v>1.3440000000000001</v>
      </c>
    </row>
    <row r="22" spans="2:14" x14ac:dyDescent="0.25">
      <c r="C22" t="s">
        <v>19</v>
      </c>
      <c r="D22">
        <v>4</v>
      </c>
      <c r="E22">
        <v>7.34</v>
      </c>
      <c r="F22">
        <v>0.23</v>
      </c>
      <c r="G22">
        <v>0.2</v>
      </c>
      <c r="H22">
        <f>E22*F22*G22</f>
        <v>0.33764000000000005</v>
      </c>
    </row>
    <row r="23" spans="2:14" x14ac:dyDescent="0.25">
      <c r="C23" t="s">
        <v>19</v>
      </c>
      <c r="D23">
        <v>8</v>
      </c>
      <c r="E23">
        <v>3.2</v>
      </c>
      <c r="F23">
        <v>0.23</v>
      </c>
      <c r="G23">
        <v>0.2</v>
      </c>
      <c r="H23">
        <f>E23*F23*G23</f>
        <v>0.14720000000000003</v>
      </c>
    </row>
    <row r="24" spans="2:14" x14ac:dyDescent="0.25">
      <c r="C24" t="s">
        <v>20</v>
      </c>
      <c r="D24">
        <v>8</v>
      </c>
      <c r="E24">
        <v>1.97</v>
      </c>
      <c r="F24">
        <v>0.23</v>
      </c>
      <c r="G24">
        <v>0.23</v>
      </c>
      <c r="H24">
        <f>E24*F24*G24</f>
        <v>0.104213</v>
      </c>
    </row>
    <row r="25" spans="2:14" x14ac:dyDescent="0.25">
      <c r="C25" t="s">
        <v>21</v>
      </c>
      <c r="D25">
        <v>8</v>
      </c>
      <c r="E25">
        <v>3.2</v>
      </c>
      <c r="F25">
        <v>0.23</v>
      </c>
      <c r="G25">
        <v>0.23</v>
      </c>
      <c r="H25">
        <f t="shared" ref="H25:H30" si="2">E25*F25*G25</f>
        <v>0.16928000000000004</v>
      </c>
    </row>
    <row r="26" spans="2:14" x14ac:dyDescent="0.25">
      <c r="C26" t="s">
        <v>22</v>
      </c>
      <c r="D26">
        <v>2</v>
      </c>
      <c r="E26">
        <v>7.34</v>
      </c>
      <c r="F26">
        <v>0.23</v>
      </c>
      <c r="G26">
        <v>0.3</v>
      </c>
      <c r="H26">
        <f t="shared" si="2"/>
        <v>0.50646000000000002</v>
      </c>
    </row>
    <row r="27" spans="2:14" x14ac:dyDescent="0.25">
      <c r="C27" t="s">
        <v>22</v>
      </c>
      <c r="D27">
        <v>4</v>
      </c>
      <c r="E27">
        <v>3.2</v>
      </c>
      <c r="F27">
        <v>0.23</v>
      </c>
      <c r="G27">
        <v>0.3</v>
      </c>
      <c r="H27">
        <f t="shared" si="2"/>
        <v>0.22080000000000002</v>
      </c>
    </row>
    <row r="28" spans="2:14" x14ac:dyDescent="0.25">
      <c r="C28" t="s">
        <v>23</v>
      </c>
      <c r="D28">
        <v>4</v>
      </c>
      <c r="E28">
        <v>1.8</v>
      </c>
      <c r="F28">
        <v>0.23</v>
      </c>
      <c r="G28">
        <v>0.23</v>
      </c>
      <c r="H28">
        <f t="shared" si="2"/>
        <v>9.5220000000000013E-2</v>
      </c>
    </row>
    <row r="29" spans="2:14" x14ac:dyDescent="0.25">
      <c r="C29" t="s">
        <v>24</v>
      </c>
      <c r="D29">
        <v>2</v>
      </c>
      <c r="E29">
        <v>3.657</v>
      </c>
      <c r="F29">
        <v>2.74</v>
      </c>
      <c r="G29">
        <v>0.1</v>
      </c>
      <c r="H29">
        <f t="shared" si="2"/>
        <v>1.0020180000000003</v>
      </c>
    </row>
    <row r="30" spans="2:14" x14ac:dyDescent="0.25">
      <c r="C30" t="s">
        <v>25</v>
      </c>
      <c r="D30">
        <v>1</v>
      </c>
      <c r="E30">
        <v>3.657</v>
      </c>
      <c r="F30">
        <v>2.74</v>
      </c>
      <c r="G30">
        <v>0.15</v>
      </c>
      <c r="H30">
        <f t="shared" si="2"/>
        <v>1.5030270000000001</v>
      </c>
    </row>
    <row r="31" spans="2:14" x14ac:dyDescent="0.25">
      <c r="H31" s="2">
        <f>SUM(H20:H30)</f>
        <v>6.5498580000000022</v>
      </c>
      <c r="I31" t="s">
        <v>8</v>
      </c>
      <c r="J31">
        <f>12000*H31</f>
        <v>78598.296000000031</v>
      </c>
    </row>
    <row r="32" spans="2:14" x14ac:dyDescent="0.25">
      <c r="B32" t="s">
        <v>26</v>
      </c>
      <c r="C32" t="s">
        <v>27</v>
      </c>
      <c r="D32">
        <v>6</v>
      </c>
      <c r="E32">
        <v>7.5</v>
      </c>
      <c r="F32">
        <v>6</v>
      </c>
      <c r="H32">
        <f>D32*E32*F32*3.14*0.012^2/4</f>
        <v>3.0520800000000004E-2</v>
      </c>
    </row>
    <row r="33" spans="3:11" x14ac:dyDescent="0.25">
      <c r="D33">
        <v>12</v>
      </c>
      <c r="E33">
        <v>3.5</v>
      </c>
      <c r="F33">
        <v>6</v>
      </c>
      <c r="H33">
        <f>D33*E33*F33*3.14*0.012^2/4</f>
        <v>2.8486080000000004E-2</v>
      </c>
    </row>
    <row r="34" spans="3:11" x14ac:dyDescent="0.25">
      <c r="D34">
        <v>8</v>
      </c>
      <c r="E34">
        <v>5.5</v>
      </c>
      <c r="F34">
        <v>4</v>
      </c>
      <c r="H34">
        <f t="shared" ref="H34:H35" si="3">D34*E34*F34*3.14*0.012^2/4</f>
        <v>1.9895039999999999E-2</v>
      </c>
    </row>
    <row r="35" spans="3:11" x14ac:dyDescent="0.25">
      <c r="D35">
        <v>4</v>
      </c>
      <c r="E35">
        <v>1.8</v>
      </c>
      <c r="F35">
        <v>4</v>
      </c>
      <c r="H35">
        <f t="shared" si="3"/>
        <v>3.2555520000000001E-3</v>
      </c>
    </row>
    <row r="36" spans="3:11" x14ac:dyDescent="0.25">
      <c r="C36" t="s">
        <v>28</v>
      </c>
      <c r="D36" t="s">
        <v>29</v>
      </c>
      <c r="F36">
        <f>D32*E32+D33*E33</f>
        <v>87</v>
      </c>
      <c r="G36">
        <f>F36/0.11</f>
        <v>790.90909090909088</v>
      </c>
      <c r="H36">
        <f>G36*0.92*3.14/4*0.006^2</f>
        <v>2.0563003636363639E-2</v>
      </c>
    </row>
    <row r="37" spans="3:11" x14ac:dyDescent="0.25">
      <c r="D37" t="s">
        <v>30</v>
      </c>
      <c r="F37">
        <f>D34*E34+D35*E35</f>
        <v>51.2</v>
      </c>
      <c r="G37">
        <f>F37/0.11</f>
        <v>465.4545454545455</v>
      </c>
      <c r="H37">
        <f>G37*0.92*3.14/4*0.006^2</f>
        <v>1.210144581818182E-2</v>
      </c>
    </row>
    <row r="38" spans="3:11" x14ac:dyDescent="0.25">
      <c r="H38">
        <f>0.3/100*(H30+H29)</f>
        <v>7.5151350000000018E-3</v>
      </c>
    </row>
    <row r="39" spans="3:11" x14ac:dyDescent="0.25">
      <c r="H39" s="2">
        <f>SUM(H32:H38)</f>
        <v>0.12233705645454547</v>
      </c>
      <c r="I39" t="s">
        <v>8</v>
      </c>
      <c r="J39">
        <f>H39*7850</f>
        <v>960.34589316818199</v>
      </c>
      <c r="K39" t="s">
        <v>34</v>
      </c>
    </row>
    <row r="40" spans="3:11" x14ac:dyDescent="0.25">
      <c r="J40">
        <f>150*J39</f>
        <v>144051.88397522731</v>
      </c>
    </row>
    <row r="43" spans="3:11" x14ac:dyDescent="0.25">
      <c r="J43">
        <f>J40+N19+J31+J12+J7</f>
        <v>479122.87757522741</v>
      </c>
    </row>
    <row r="45" spans="3:11" x14ac:dyDescent="0.25">
      <c r="I45">
        <v>479122.87757522741</v>
      </c>
    </row>
  </sheetData>
  <mergeCells count="1">
    <mergeCell ref="B13:B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Aanand Mishra</dc:creator>
  <cp:lastModifiedBy>Aanand Mishra</cp:lastModifiedBy>
  <dcterms:created xsi:type="dcterms:W3CDTF">2020-06-11T04:15:13Z</dcterms:created>
  <dcterms:modified xsi:type="dcterms:W3CDTF">2020-06-11T06:18:33Z</dcterms:modified>
</cp:coreProperties>
</file>